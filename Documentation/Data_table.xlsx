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j\Desktop\Engineering\Project\Paper\"/>
    </mc:Choice>
  </mc:AlternateContent>
  <xr:revisionPtr revIDLastSave="0" documentId="13_ncr:1_{EE49ADC1-ACE9-4976-A943-3137B1A7D122}" xr6:coauthVersionLast="47" xr6:coauthVersionMax="47" xr10:uidLastSave="{00000000-0000-0000-0000-000000000000}"/>
  <bookViews>
    <workbookView xWindow="-110" yWindow="-110" windowWidth="19420" windowHeight="10560" activeTab="5" xr2:uid="{C35139FB-BB34-496B-B8F5-D5D6DA655FE0}"/>
  </bookViews>
  <sheets>
    <sheet name="Initial" sheetId="7" r:id="rId1"/>
    <sheet name="Pressure &amp; bpt" sheetId="6" r:id="rId2"/>
    <sheet name="Volume &amp; Percent" sheetId="1" r:id="rId3"/>
    <sheet name="Moles" sheetId="4" r:id="rId4"/>
    <sheet name="Sensitivity" sheetId="5" r:id="rId5"/>
    <sheet name="Altitude" sheetId="2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F12" i="1"/>
  <c r="D12" i="1"/>
  <c r="D13" i="1" s="1"/>
  <c r="D14" i="1" s="1"/>
  <c r="E16" i="1"/>
  <c r="F16" i="1"/>
  <c r="D16" i="1"/>
  <c r="F8" i="2"/>
  <c r="E8" i="2"/>
  <c r="D8" i="2"/>
  <c r="F5" i="2"/>
  <c r="E5" i="2"/>
  <c r="D5" i="2"/>
  <c r="G8" i="1"/>
  <c r="F8" i="1"/>
  <c r="E8" i="1"/>
  <c r="G5" i="1"/>
  <c r="F5" i="1"/>
  <c r="E5" i="1"/>
  <c r="R5" i="4"/>
  <c r="Q11" i="4"/>
  <c r="R11" i="4"/>
  <c r="Q14" i="4"/>
  <c r="R14" i="4"/>
  <c r="P14" i="4"/>
  <c r="P11" i="4"/>
  <c r="Q8" i="4"/>
  <c r="R8" i="4"/>
  <c r="P8" i="4"/>
  <c r="Q5" i="4"/>
  <c r="P5" i="4"/>
  <c r="J5" i="4"/>
  <c r="K5" i="4"/>
  <c r="L5" i="4"/>
  <c r="L6" i="4"/>
  <c r="J11" i="4"/>
  <c r="J12" i="4" s="1"/>
  <c r="K11" i="4"/>
  <c r="K12" i="4" s="1"/>
  <c r="L11" i="4"/>
  <c r="L12" i="4" s="1"/>
  <c r="F7" i="4"/>
  <c r="F8" i="4" s="1"/>
  <c r="E7" i="4"/>
  <c r="E8" i="4" s="1"/>
  <c r="D7" i="4"/>
  <c r="D8" i="4" s="1"/>
  <c r="B24" i="5"/>
  <c r="B23" i="5"/>
  <c r="B21" i="5"/>
  <c r="B20" i="5"/>
  <c r="E24" i="5"/>
  <c r="F24" i="5" s="1"/>
  <c r="E23" i="5"/>
  <c r="F23" i="5" s="1"/>
  <c r="E22" i="5"/>
  <c r="F22" i="5" s="1"/>
  <c r="E21" i="5"/>
  <c r="F21" i="5" s="1"/>
  <c r="E20" i="5"/>
  <c r="F20" i="5" s="1"/>
  <c r="E16" i="5"/>
  <c r="F16" i="5" s="1"/>
  <c r="E15" i="5"/>
  <c r="F15" i="5" s="1"/>
  <c r="E14" i="5"/>
  <c r="F14" i="5" s="1"/>
  <c r="E13" i="5"/>
  <c r="F13" i="5" s="1"/>
  <c r="E12" i="5"/>
  <c r="F12" i="5" s="1"/>
  <c r="E5" i="5"/>
  <c r="F5" i="5" s="1"/>
  <c r="E6" i="5"/>
  <c r="F6" i="5" s="1"/>
  <c r="E7" i="5"/>
  <c r="F7" i="5" s="1"/>
  <c r="E8" i="5"/>
  <c r="F8" i="5" s="1"/>
  <c r="E4" i="5"/>
  <c r="F4" i="5" s="1"/>
  <c r="B8" i="5"/>
  <c r="B7" i="5"/>
  <c r="B5" i="5"/>
  <c r="B4" i="5"/>
  <c r="D17" i="1" l="1"/>
  <c r="D18" i="1" s="1"/>
  <c r="K6" i="4"/>
  <c r="J6" i="4"/>
</calcChain>
</file>

<file path=xl/sharedStrings.xml><?xml version="1.0" encoding="utf-8"?>
<sst xmlns="http://schemas.openxmlformats.org/spreadsheetml/2006/main" count="137" uniqueCount="65">
  <si>
    <t>Runs</t>
  </si>
  <si>
    <t>Run 1</t>
  </si>
  <si>
    <t>Run 2</t>
  </si>
  <si>
    <t>Run 3</t>
  </si>
  <si>
    <t>Ethanol Concentration (v/v%)</t>
  </si>
  <si>
    <t>Experimental</t>
  </si>
  <si>
    <t>% Error</t>
  </si>
  <si>
    <t>Distillate Volume (mL)</t>
  </si>
  <si>
    <t>Sea level</t>
  </si>
  <si>
    <t>Kathmandu</t>
  </si>
  <si>
    <t>RMSE</t>
  </si>
  <si>
    <t>Difference</t>
  </si>
  <si>
    <t>mL</t>
  </si>
  <si>
    <t>NRMSE</t>
  </si>
  <si>
    <t>%</t>
  </si>
  <si>
    <t>Aspen</t>
  </si>
  <si>
    <t>Ethanol</t>
  </si>
  <si>
    <t>Water</t>
  </si>
  <si>
    <t>Moles</t>
  </si>
  <si>
    <t>Total</t>
  </si>
  <si>
    <t>Eth MF</t>
  </si>
  <si>
    <t>Initial</t>
  </si>
  <si>
    <t>Power</t>
  </si>
  <si>
    <t>RR</t>
  </si>
  <si>
    <t>Time</t>
  </si>
  <si>
    <t>Room temp</t>
  </si>
  <si>
    <t>Modal</t>
  </si>
  <si>
    <t>Distillate(moles)</t>
  </si>
  <si>
    <t>No of 
Stage</t>
  </si>
  <si>
    <t>Reflux 
ratio</t>
  </si>
  <si>
    <t>Power 
input(W)</t>
  </si>
  <si>
    <t>Distillate Ethanol mole fraction</t>
  </si>
  <si>
    <t>Distillate total moles</t>
  </si>
  <si>
    <t>Total 
moles</t>
  </si>
  <si>
    <t>Volume(L)</t>
  </si>
  <si>
    <t>Conc(v/v%)</t>
  </si>
  <si>
    <t>Local Pressure (Pa)</t>
  </si>
  <si>
    <t>Ethanol boiling point(°C)</t>
  </si>
  <si>
    <t>Water boiling point(°C)</t>
  </si>
  <si>
    <t>Parameter</t>
  </si>
  <si>
    <t>Present model</t>
  </si>
  <si>
    <t>Deviation (%)</t>
  </si>
  <si>
    <t>Ethanol in 
distillate
(mol)</t>
  </si>
  <si>
    <t>Total 
distillate
(mol)</t>
  </si>
  <si>
    <t>Ethanol 
mole 
fraction</t>
  </si>
  <si>
    <t>Water in 
distillate
(mol)</t>
  </si>
  <si>
    <t>Ethanol 
Concentration 
(v/v%)</t>
  </si>
  <si>
    <t>Distillate 
Volume 
(mL)</t>
  </si>
  <si>
    <t>Only the altitude was changed. Power, reflux ratio was same.</t>
  </si>
  <si>
    <t>Parameters</t>
  </si>
  <si>
    <t>Initial feed volume (L)</t>
  </si>
  <si>
    <t>Initial ethanol concentration (v/v%)</t>
  </si>
  <si>
    <t>Initial feed temperature (◦C)</t>
  </si>
  <si>
    <t>Time to reach boiling point (mins)</t>
  </si>
  <si>
    <t>Ambient temperature (◦C)</t>
  </si>
  <si>
    <t>Operating 
Conditions</t>
  </si>
  <si>
    <t>Reflux 
Condenser
Water</t>
  </si>
  <si>
    <t>Initial 
Feed
Conditions</t>
  </si>
  <si>
    <t>Inlet temperature (◦C)</t>
  </si>
  <si>
    <t>Outlet temperature (◦C)</t>
  </si>
  <si>
    <t>Flow rate (mL/s)</t>
  </si>
  <si>
    <t>Total experiment duration (mins)</t>
  </si>
  <si>
    <t>v/v % points</t>
  </si>
  <si>
    <t>Pressure conditions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</si>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</sst>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Times New Roman"/>
      <family val="1"/>
    </font>
    <font>
      <b/>
      <i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9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0" fontId="2" fillId="0" borderId="0" xfId="0" applyNumberFormat="1" applyFont="1" applyAlignment="1">
      <alignment horizontal="left" vertical="center" wrapText="1"/>
    </xf>
    <xf numFmtId="0" fontId="4" fillId="0" borderId="0" xfId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 wrapText="1"/>
    </xf>
    <xf numFmtId="165" fontId="2" fillId="0" borderId="0" xfId="0" applyNumberFormat="1" applyFont="1" applyAlignment="1">
      <alignment horizontal="justify" vertical="center" wrapText="1"/>
    </xf>
    <xf numFmtId="10" fontId="2" fillId="0" borderId="0" xfId="0" applyNumberFormat="1" applyFont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165" fontId="2" fillId="0" borderId="1" xfId="0" applyNumberFormat="1" applyFont="1" applyBorder="1" applyAlignment="1">
      <alignment horizontal="justify" vertical="center" wrapText="1"/>
    </xf>
    <xf numFmtId="10" fontId="2" fillId="0" borderId="1" xfId="0" applyNumberFormat="1" applyFont="1" applyBorder="1" applyAlignment="1">
      <alignment horizontal="justify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0" fontId="10" fillId="0" borderId="1" xfId="1" applyNumberFormat="1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horizontal="justify" vertical="center" wrapText="1"/>
    </xf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166" fontId="12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4C0E-D4AA-4107-BE0F-5F63DE632C9D}">
  <dimension ref="B2:F14"/>
  <sheetViews>
    <sheetView workbookViewId="0">
      <selection activeCell="I8" sqref="I8"/>
    </sheetView>
  </sheetViews>
  <sheetFormatPr defaultColWidth="8.453125" defaultRowHeight="14.5" x14ac:dyDescent="0.35"/>
  <cols>
    <col min="2" max="2" width="10.81640625" customWidth="1"/>
    <col min="3" max="3" width="32.54296875" bestFit="1" customWidth="1"/>
  </cols>
  <sheetData>
    <row r="2" spans="2:6" ht="15" x14ac:dyDescent="0.35">
      <c r="B2" s="37"/>
      <c r="C2" s="48" t="s">
        <v>49</v>
      </c>
      <c r="D2" s="48" t="s">
        <v>1</v>
      </c>
      <c r="E2" s="48" t="s">
        <v>2</v>
      </c>
      <c r="F2" s="48" t="s">
        <v>3</v>
      </c>
    </row>
    <row r="3" spans="2:6" ht="15.5" x14ac:dyDescent="0.35">
      <c r="B3" s="49" t="s">
        <v>57</v>
      </c>
      <c r="C3" s="38" t="s">
        <v>50</v>
      </c>
      <c r="D3" s="38">
        <v>4</v>
      </c>
      <c r="E3" s="38">
        <v>3</v>
      </c>
      <c r="F3" s="38">
        <v>3.5</v>
      </c>
    </row>
    <row r="4" spans="2:6" ht="15.5" x14ac:dyDescent="0.35">
      <c r="B4" s="50"/>
      <c r="C4" s="38" t="s">
        <v>51</v>
      </c>
      <c r="D4" s="38">
        <v>20</v>
      </c>
      <c r="E4" s="38">
        <v>27</v>
      </c>
      <c r="F4" s="38">
        <v>30</v>
      </c>
    </row>
    <row r="5" spans="2:6" ht="15.5" x14ac:dyDescent="0.35">
      <c r="B5" s="51"/>
      <c r="C5" s="38" t="s">
        <v>52</v>
      </c>
      <c r="D5" s="39">
        <v>18.3</v>
      </c>
      <c r="E5" s="39">
        <v>15.1</v>
      </c>
      <c r="F5" s="39">
        <v>17</v>
      </c>
    </row>
    <row r="6" spans="2:6" ht="15.5" x14ac:dyDescent="0.35">
      <c r="B6" s="49" t="s">
        <v>55</v>
      </c>
      <c r="C6" s="38" t="s">
        <v>61</v>
      </c>
      <c r="D6" s="38">
        <v>40</v>
      </c>
      <c r="E6" s="38">
        <v>38</v>
      </c>
      <c r="F6" s="38">
        <v>53</v>
      </c>
    </row>
    <row r="7" spans="2:6" ht="15.5" x14ac:dyDescent="0.35">
      <c r="B7" s="50"/>
      <c r="C7" s="38" t="s">
        <v>53</v>
      </c>
      <c r="D7" s="38">
        <v>12</v>
      </c>
      <c r="E7" s="38">
        <v>14.08</v>
      </c>
      <c r="F7" s="38">
        <v>15.67</v>
      </c>
    </row>
    <row r="8" spans="2:6" ht="15.5" x14ac:dyDescent="0.35">
      <c r="B8" s="51"/>
      <c r="C8" s="38" t="s">
        <v>54</v>
      </c>
      <c r="D8" s="39">
        <v>19.100000000000001</v>
      </c>
      <c r="E8" s="39">
        <v>17</v>
      </c>
      <c r="F8" s="39">
        <v>18</v>
      </c>
    </row>
    <row r="9" spans="2:6" ht="15.5" x14ac:dyDescent="0.35">
      <c r="B9" s="49" t="s">
        <v>56</v>
      </c>
      <c r="C9" s="38" t="s">
        <v>58</v>
      </c>
      <c r="D9" s="38">
        <v>25</v>
      </c>
      <c r="E9" s="38">
        <v>20.7</v>
      </c>
      <c r="F9" s="38">
        <v>25.73</v>
      </c>
    </row>
    <row r="10" spans="2:6" ht="15.5" x14ac:dyDescent="0.35">
      <c r="B10" s="50"/>
      <c r="C10" s="38" t="s">
        <v>59</v>
      </c>
      <c r="D10" s="38">
        <v>29.1</v>
      </c>
      <c r="E10" s="38">
        <v>31.95</v>
      </c>
      <c r="F10" s="38">
        <v>37.1</v>
      </c>
    </row>
    <row r="11" spans="2:6" ht="15.5" x14ac:dyDescent="0.35">
      <c r="B11" s="51"/>
      <c r="C11" s="38" t="s">
        <v>60</v>
      </c>
      <c r="D11" s="38">
        <v>36</v>
      </c>
      <c r="E11" s="38">
        <v>11.69</v>
      </c>
      <c r="F11" s="38">
        <v>9.7100000000000009</v>
      </c>
    </row>
    <row r="12" spans="2:6" ht="15.5" x14ac:dyDescent="0.35">
      <c r="C12" s="36"/>
      <c r="D12" s="36"/>
      <c r="E12" s="36"/>
      <c r="F12" s="36"/>
    </row>
    <row r="13" spans="2:6" ht="15.5" x14ac:dyDescent="0.35">
      <c r="C13" s="36"/>
      <c r="D13" s="36"/>
      <c r="E13" s="36"/>
      <c r="F13" s="36"/>
    </row>
    <row r="14" spans="2:6" ht="15.5" x14ac:dyDescent="0.35">
      <c r="C14" s="36"/>
      <c r="D14" s="36"/>
      <c r="E14" s="36"/>
      <c r="F14" s="36"/>
    </row>
  </sheetData>
  <mergeCells count="3">
    <mergeCell ref="B3:B5"/>
    <mergeCell ref="B6:B8"/>
    <mergeCell ref="B9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E9BE-03B8-4095-A6E7-293C61F3DCD4}">
  <dimension ref="B2:E5"/>
  <sheetViews>
    <sheetView workbookViewId="0">
      <selection activeCell="E16" sqref="E16"/>
    </sheetView>
  </sheetViews>
  <sheetFormatPr defaultRowHeight="14.5" x14ac:dyDescent="0.35"/>
  <cols>
    <col min="1" max="1" width="8.7265625" style="44"/>
    <col min="2" max="2" width="21.08984375" style="44" bestFit="1" customWidth="1"/>
    <col min="3" max="16384" width="8.7265625" style="44"/>
  </cols>
  <sheetData>
    <row r="2" spans="2:5" x14ac:dyDescent="0.35">
      <c r="B2" s="8" t="s">
        <v>49</v>
      </c>
      <c r="C2" s="8" t="s">
        <v>1</v>
      </c>
      <c r="D2" s="8" t="s">
        <v>2</v>
      </c>
      <c r="E2" s="8" t="s">
        <v>3</v>
      </c>
    </row>
    <row r="3" spans="2:5" x14ac:dyDescent="0.35">
      <c r="B3" s="3" t="s">
        <v>36</v>
      </c>
      <c r="C3" s="3">
        <v>87032.33</v>
      </c>
      <c r="D3" s="3">
        <v>86936.61</v>
      </c>
      <c r="E3" s="3">
        <v>86982.35</v>
      </c>
    </row>
    <row r="4" spans="2:5" x14ac:dyDescent="0.35">
      <c r="B4" s="3" t="s">
        <v>37</v>
      </c>
      <c r="C4" s="3">
        <v>74.680000000000007</v>
      </c>
      <c r="D4" s="3">
        <v>74.66</v>
      </c>
      <c r="E4" s="3">
        <v>74.67</v>
      </c>
    </row>
    <row r="5" spans="2:5" x14ac:dyDescent="0.35">
      <c r="B5" s="3" t="s">
        <v>38</v>
      </c>
      <c r="C5" s="3">
        <v>96.06</v>
      </c>
      <c r="D5" s="3">
        <v>96.04</v>
      </c>
      <c r="E5" s="3">
        <v>96.05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F8A3-DA37-44DE-81B6-F3C9FC61670D}">
  <dimension ref="B2:G18"/>
  <sheetViews>
    <sheetView zoomScaleNormal="100" workbookViewId="0">
      <selection activeCell="H17" sqref="H17"/>
    </sheetView>
  </sheetViews>
  <sheetFormatPr defaultRowHeight="14" x14ac:dyDescent="0.35"/>
  <cols>
    <col min="1" max="1" width="8.7265625" style="1"/>
    <col min="2" max="2" width="8.81640625" style="1" customWidth="1"/>
    <col min="3" max="3" width="13.26953125" style="1" bestFit="1" customWidth="1"/>
    <col min="4" max="4" width="12.81640625" style="1" customWidth="1"/>
    <col min="5" max="16384" width="8.7265625" style="1"/>
  </cols>
  <sheetData>
    <row r="2" spans="2:7" x14ac:dyDescent="0.35">
      <c r="C2" s="12" t="s">
        <v>39</v>
      </c>
      <c r="D2" s="8" t="s">
        <v>64</v>
      </c>
      <c r="E2" s="8" t="s">
        <v>1</v>
      </c>
      <c r="F2" s="8" t="s">
        <v>2</v>
      </c>
      <c r="G2" s="8" t="s">
        <v>3</v>
      </c>
    </row>
    <row r="3" spans="2:7" x14ac:dyDescent="0.35">
      <c r="C3" s="52" t="s">
        <v>46</v>
      </c>
      <c r="D3" s="9" t="s">
        <v>26</v>
      </c>
      <c r="E3" s="9">
        <v>64.75</v>
      </c>
      <c r="F3" s="9">
        <v>86.13</v>
      </c>
      <c r="G3" s="9">
        <v>83.7</v>
      </c>
    </row>
    <row r="4" spans="2:7" x14ac:dyDescent="0.35">
      <c r="B4" s="7"/>
      <c r="C4" s="52"/>
      <c r="D4" s="9" t="s">
        <v>5</v>
      </c>
      <c r="E4" s="9">
        <v>58</v>
      </c>
      <c r="F4" s="9">
        <v>84</v>
      </c>
      <c r="G4" s="9">
        <v>79</v>
      </c>
    </row>
    <row r="5" spans="2:7" x14ac:dyDescent="0.35">
      <c r="B5" s="5"/>
      <c r="C5" s="52"/>
      <c r="D5" s="9" t="s">
        <v>6</v>
      </c>
      <c r="E5" s="10">
        <f>ABS((E3-E4)/E3)</f>
        <v>0.10424710424710425</v>
      </c>
      <c r="F5" s="10">
        <f t="shared" ref="F5:G5" si="0">ABS((F3-F4)/F3)</f>
        <v>2.4730059212817783E-2</v>
      </c>
      <c r="G5" s="10">
        <f t="shared" si="0"/>
        <v>5.6152927120669091E-2</v>
      </c>
    </row>
    <row r="6" spans="2:7" x14ac:dyDescent="0.35">
      <c r="B6" s="6"/>
      <c r="C6" s="52" t="s">
        <v>47</v>
      </c>
      <c r="D6" s="9" t="s">
        <v>26</v>
      </c>
      <c r="E6" s="11">
        <v>1170.77</v>
      </c>
      <c r="F6" s="11">
        <v>711.8</v>
      </c>
      <c r="G6" s="11">
        <v>1094.49</v>
      </c>
    </row>
    <row r="7" spans="2:7" x14ac:dyDescent="0.35">
      <c r="C7" s="52"/>
      <c r="D7" s="9" t="s">
        <v>5</v>
      </c>
      <c r="E7" s="9">
        <v>1182</v>
      </c>
      <c r="F7" s="9">
        <v>593</v>
      </c>
      <c r="G7" s="9">
        <v>1049</v>
      </c>
    </row>
    <row r="8" spans="2:7" x14ac:dyDescent="0.35">
      <c r="B8" s="5"/>
      <c r="C8" s="52"/>
      <c r="D8" s="9" t="s">
        <v>6</v>
      </c>
      <c r="E8" s="10">
        <f>ABS((E6-E7)/E6)</f>
        <v>9.5919779290552527E-3</v>
      </c>
      <c r="F8" s="10">
        <f>ABS((F6-F7)/F6)</f>
        <v>0.16690081483562794</v>
      </c>
      <c r="G8" s="10">
        <f>ABS((G6-G7)/G6)</f>
        <v>4.1562736982521546E-2</v>
      </c>
    </row>
    <row r="9" spans="2:7" x14ac:dyDescent="0.35">
      <c r="B9" s="5"/>
      <c r="C9" s="34"/>
      <c r="D9" s="5"/>
      <c r="E9" s="5"/>
      <c r="F9" s="5"/>
      <c r="G9" s="5"/>
    </row>
    <row r="10" spans="2:7" x14ac:dyDescent="0.35">
      <c r="B10" s="6"/>
      <c r="C10" s="34"/>
      <c r="D10" s="5"/>
      <c r="E10" s="6"/>
      <c r="F10" s="6"/>
      <c r="G10" s="6"/>
    </row>
    <row r="11" spans="2:7" x14ac:dyDescent="0.35">
      <c r="C11" s="52" t="s">
        <v>4</v>
      </c>
      <c r="D11" s="52"/>
      <c r="E11" s="52"/>
      <c r="F11" s="52"/>
    </row>
    <row r="12" spans="2:7" x14ac:dyDescent="0.35">
      <c r="C12" s="2" t="s">
        <v>11</v>
      </c>
      <c r="D12" s="2">
        <f>E4-E3</f>
        <v>-6.75</v>
      </c>
      <c r="E12" s="2">
        <f t="shared" ref="E12:F12" si="1">F4-F3</f>
        <v>-2.1299999999999955</v>
      </c>
      <c r="F12" s="2">
        <f t="shared" si="1"/>
        <v>-4.7000000000000028</v>
      </c>
    </row>
    <row r="13" spans="2:7" x14ac:dyDescent="0.3">
      <c r="C13" s="2" t="s">
        <v>10</v>
      </c>
      <c r="D13" s="4">
        <f>SQRT(SUMSQ(D12:F12)/COUNTA(D12:F12))</f>
        <v>4.9054187724732881</v>
      </c>
      <c r="E13" s="53" t="s">
        <v>62</v>
      </c>
      <c r="F13" s="53"/>
    </row>
    <row r="14" spans="2:7" x14ac:dyDescent="0.3">
      <c r="C14" s="2" t="s">
        <v>13</v>
      </c>
      <c r="D14" s="4">
        <f>D13*100/AVERAGE(E4:G4)</f>
        <v>6.6589395101447346</v>
      </c>
      <c r="E14" s="3" t="s">
        <v>14</v>
      </c>
      <c r="F14" s="2"/>
    </row>
    <row r="15" spans="2:7" x14ac:dyDescent="0.35">
      <c r="C15" s="52" t="s">
        <v>7</v>
      </c>
      <c r="D15" s="52"/>
      <c r="E15" s="52"/>
      <c r="F15" s="52"/>
    </row>
    <row r="16" spans="2:7" x14ac:dyDescent="0.35">
      <c r="C16" s="2" t="s">
        <v>11</v>
      </c>
      <c r="D16" s="4">
        <f>E7-E6</f>
        <v>11.230000000000018</v>
      </c>
      <c r="E16" s="4">
        <f t="shared" ref="E16:F16" si="2">F7-F6</f>
        <v>-118.79999999999995</v>
      </c>
      <c r="F16" s="4">
        <f t="shared" si="2"/>
        <v>-45.490000000000009</v>
      </c>
    </row>
    <row r="17" spans="3:6" x14ac:dyDescent="0.35">
      <c r="C17" s="2" t="s">
        <v>10</v>
      </c>
      <c r="D17" s="4">
        <f>SQRT(SUMSQ(D16:F16)/COUNTA(D16:F16))</f>
        <v>73.731252984515763</v>
      </c>
      <c r="E17" s="2" t="s">
        <v>12</v>
      </c>
      <c r="F17" s="2"/>
    </row>
    <row r="18" spans="3:6" x14ac:dyDescent="0.35">
      <c r="C18" s="2" t="s">
        <v>13</v>
      </c>
      <c r="D18" s="4">
        <f>D17*100/AVERAGE(E7:G7)</f>
        <v>7.8326401895732038</v>
      </c>
      <c r="E18" s="2" t="s">
        <v>14</v>
      </c>
      <c r="F18" s="2"/>
    </row>
  </sheetData>
  <mergeCells count="5">
    <mergeCell ref="C11:F11"/>
    <mergeCell ref="E13:F13"/>
    <mergeCell ref="C15:F15"/>
    <mergeCell ref="C6:C8"/>
    <mergeCell ref="C3:C5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8285-A32A-48BE-8E37-36219429EFA4}">
  <dimension ref="B2:R24"/>
  <sheetViews>
    <sheetView zoomScaleNormal="110" workbookViewId="0">
      <selection activeCell="G20" sqref="G20"/>
    </sheetView>
  </sheetViews>
  <sheetFormatPr defaultRowHeight="14" x14ac:dyDescent="0.35"/>
  <cols>
    <col min="1" max="1" width="8.7265625" style="1"/>
    <col min="2" max="2" width="7.81640625" style="1" customWidth="1"/>
    <col min="3" max="3" width="11.36328125" style="1" bestFit="1" customWidth="1"/>
    <col min="4" max="6" width="8.36328125" style="1" bestFit="1" customWidth="1"/>
    <col min="7" max="7" width="9.1796875" style="1" customWidth="1"/>
    <col min="8" max="8" width="9.08984375" style="1" bestFit="1" customWidth="1"/>
    <col min="9" max="9" width="8.26953125" style="18" bestFit="1" customWidth="1"/>
    <col min="10" max="12" width="8" style="1" bestFit="1" customWidth="1"/>
    <col min="13" max="13" width="8.7265625" style="1"/>
    <col min="14" max="14" width="12" style="1" customWidth="1"/>
    <col min="15" max="15" width="13.36328125" style="1" bestFit="1" customWidth="1"/>
    <col min="16" max="18" width="6.81640625" style="1" bestFit="1" customWidth="1"/>
    <col min="19" max="16384" width="8.7265625" style="1"/>
  </cols>
  <sheetData>
    <row r="2" spans="2:18" ht="15" x14ac:dyDescent="0.35">
      <c r="B2" s="29" t="s">
        <v>21</v>
      </c>
      <c r="C2" s="8" t="s">
        <v>49</v>
      </c>
      <c r="D2" s="8" t="s">
        <v>1</v>
      </c>
      <c r="E2" s="8" t="s">
        <v>2</v>
      </c>
      <c r="F2" s="8" t="s">
        <v>3</v>
      </c>
      <c r="H2" s="29" t="s">
        <v>26</v>
      </c>
      <c r="I2" s="8" t="s">
        <v>0</v>
      </c>
      <c r="J2" s="8" t="s">
        <v>1</v>
      </c>
      <c r="K2" s="8" t="s">
        <v>2</v>
      </c>
      <c r="L2" s="8" t="s">
        <v>3</v>
      </c>
      <c r="N2" s="30" t="s">
        <v>49</v>
      </c>
      <c r="O2" s="30" t="s">
        <v>64</v>
      </c>
      <c r="P2" s="30" t="s">
        <v>1</v>
      </c>
      <c r="Q2" s="30" t="s">
        <v>2</v>
      </c>
      <c r="R2" s="30" t="s">
        <v>3</v>
      </c>
    </row>
    <row r="3" spans="2:18" ht="15.5" x14ac:dyDescent="0.35">
      <c r="B3" s="28"/>
      <c r="C3" s="12" t="s">
        <v>34</v>
      </c>
      <c r="D3" s="2">
        <v>4</v>
      </c>
      <c r="E3" s="2">
        <v>3</v>
      </c>
      <c r="F3" s="2">
        <v>3.5</v>
      </c>
      <c r="H3" s="54" t="s">
        <v>18</v>
      </c>
      <c r="I3" s="12" t="s">
        <v>16</v>
      </c>
      <c r="J3" s="13">
        <v>13.0128</v>
      </c>
      <c r="K3" s="13">
        <v>10.5595</v>
      </c>
      <c r="L3" s="13">
        <v>15.745699999999999</v>
      </c>
      <c r="N3" s="60" t="s">
        <v>44</v>
      </c>
      <c r="O3" s="31" t="s">
        <v>15</v>
      </c>
      <c r="P3" s="31">
        <v>0.35089999999999999</v>
      </c>
      <c r="Q3" s="31">
        <v>0.6129</v>
      </c>
      <c r="R3" s="13">
        <v>0.57632807493973692</v>
      </c>
    </row>
    <row r="4" spans="2:18" ht="15.5" x14ac:dyDescent="0.35">
      <c r="B4" s="28"/>
      <c r="C4" s="12" t="s">
        <v>35</v>
      </c>
      <c r="D4" s="2">
        <v>20</v>
      </c>
      <c r="E4" s="2">
        <v>27</v>
      </c>
      <c r="F4" s="2">
        <v>30</v>
      </c>
      <c r="H4" s="55"/>
      <c r="I4" s="12" t="s">
        <v>17</v>
      </c>
      <c r="J4" s="13">
        <v>25.180199999999999</v>
      </c>
      <c r="K4" s="13">
        <v>6.4039999999999999</v>
      </c>
      <c r="L4" s="13">
        <v>11.446</v>
      </c>
      <c r="N4" s="61"/>
      <c r="O4" s="31" t="s">
        <v>40</v>
      </c>
      <c r="P4" s="31">
        <v>0.3407</v>
      </c>
      <c r="Q4" s="31">
        <v>0.62250000000000005</v>
      </c>
      <c r="R4" s="25">
        <v>0.57906272870030195</v>
      </c>
    </row>
    <row r="5" spans="2:18" ht="15.5" x14ac:dyDescent="0.35">
      <c r="B5" s="57" t="s">
        <v>18</v>
      </c>
      <c r="C5" s="12" t="s">
        <v>16</v>
      </c>
      <c r="D5" s="13">
        <v>13.7316</v>
      </c>
      <c r="E5" s="13">
        <v>13.9512</v>
      </c>
      <c r="F5" s="13">
        <v>18.047999999999998</v>
      </c>
      <c r="H5" s="56"/>
      <c r="I5" s="12" t="s">
        <v>19</v>
      </c>
      <c r="J5" s="13">
        <f>J3+J4</f>
        <v>38.192999999999998</v>
      </c>
      <c r="K5" s="13">
        <f>K3+K4</f>
        <v>16.9635</v>
      </c>
      <c r="L5" s="13">
        <f>L3+L4</f>
        <v>27.191699999999997</v>
      </c>
      <c r="N5" s="62"/>
      <c r="O5" s="31" t="s">
        <v>41</v>
      </c>
      <c r="P5" s="32">
        <f>ABS((P3-P4)/P3)</f>
        <v>2.9068110572812729E-2</v>
      </c>
      <c r="Q5" s="32">
        <f t="shared" ref="Q5" si="0">ABS((Q3-Q4)/Q3)</f>
        <v>1.5663240332843942E-2</v>
      </c>
      <c r="R5" s="10">
        <f>ABS((R3-R4)/R3)</f>
        <v>4.7449601702137748E-3</v>
      </c>
    </row>
    <row r="6" spans="2:18" ht="15.5" x14ac:dyDescent="0.35">
      <c r="B6" s="58"/>
      <c r="C6" s="12" t="s">
        <v>17</v>
      </c>
      <c r="D6" s="13">
        <v>181.16239999999999</v>
      </c>
      <c r="E6" s="13">
        <v>125.49460000000001</v>
      </c>
      <c r="F6" s="13">
        <v>141.06489999999999</v>
      </c>
      <c r="H6" s="12"/>
      <c r="I6" s="12" t="s">
        <v>20</v>
      </c>
      <c r="J6" s="13">
        <f>J3/J5</f>
        <v>0.34071164873144294</v>
      </c>
      <c r="K6" s="13">
        <f>K3/K5</f>
        <v>0.62248356765997581</v>
      </c>
      <c r="L6" s="13">
        <f>L3/L5</f>
        <v>0.57906272870030195</v>
      </c>
      <c r="N6" s="60" t="s">
        <v>43</v>
      </c>
      <c r="O6" s="31" t="s">
        <v>15</v>
      </c>
      <c r="P6" s="33">
        <v>36.170400000000001</v>
      </c>
      <c r="Q6" s="33">
        <v>16.311810000000001</v>
      </c>
      <c r="R6" s="33">
        <v>26.218400000000003</v>
      </c>
    </row>
    <row r="7" spans="2:18" ht="15.5" x14ac:dyDescent="0.35">
      <c r="B7" s="59"/>
      <c r="C7" s="12" t="s">
        <v>19</v>
      </c>
      <c r="D7" s="13">
        <f>D5+D6</f>
        <v>194.89400000000001</v>
      </c>
      <c r="E7" s="13">
        <f>E5+E6</f>
        <v>139.44580000000002</v>
      </c>
      <c r="F7" s="13">
        <f>F5+F6</f>
        <v>159.1129</v>
      </c>
      <c r="H7" s="18"/>
      <c r="N7" s="61"/>
      <c r="O7" s="31" t="s">
        <v>40</v>
      </c>
      <c r="P7" s="33">
        <v>38.192999999999998</v>
      </c>
      <c r="Q7" s="33">
        <v>16.9635</v>
      </c>
      <c r="R7" s="33">
        <v>27.191699999999997</v>
      </c>
    </row>
    <row r="8" spans="2:18" ht="15.5" x14ac:dyDescent="0.35">
      <c r="B8" s="12"/>
      <c r="C8" s="12" t="s">
        <v>20</v>
      </c>
      <c r="D8" s="13">
        <f>D5/D7</f>
        <v>7.0456761111168123E-2</v>
      </c>
      <c r="E8" s="13">
        <f>E5/E7</f>
        <v>0.10004747364208888</v>
      </c>
      <c r="F8" s="13">
        <f>F5/F7</f>
        <v>0.11342889231482801</v>
      </c>
      <c r="H8" s="29" t="s">
        <v>15</v>
      </c>
      <c r="I8" s="8" t="s">
        <v>0</v>
      </c>
      <c r="J8" s="8" t="s">
        <v>1</v>
      </c>
      <c r="K8" s="8" t="s">
        <v>2</v>
      </c>
      <c r="L8" s="8" t="s">
        <v>3</v>
      </c>
      <c r="N8" s="62"/>
      <c r="O8" s="31" t="s">
        <v>41</v>
      </c>
      <c r="P8" s="32">
        <f>ABS((P6-P7)/P6)</f>
        <v>5.5918651715214568E-2</v>
      </c>
      <c r="Q8" s="32">
        <f>ABS((Q6-Q7)/Q6)</f>
        <v>3.9952034752734275E-2</v>
      </c>
      <c r="R8" s="32">
        <f t="shared" ref="R8" si="1">ABS((R6-R7)/R6)</f>
        <v>3.7122783999023384E-2</v>
      </c>
    </row>
    <row r="9" spans="2:18" ht="15.5" x14ac:dyDescent="0.35">
      <c r="B9" s="12"/>
      <c r="C9" s="12" t="s">
        <v>22</v>
      </c>
      <c r="D9" s="2">
        <v>1580.46</v>
      </c>
      <c r="E9" s="2">
        <v>1061.23</v>
      </c>
      <c r="F9" s="2">
        <v>1025.3399999999999</v>
      </c>
      <c r="H9" s="54" t="s">
        <v>18</v>
      </c>
      <c r="I9" s="12" t="s">
        <v>16</v>
      </c>
      <c r="J9" s="13">
        <v>12.693199999999999</v>
      </c>
      <c r="K9" s="13">
        <v>9.9975000000000005</v>
      </c>
      <c r="L9" s="13">
        <v>15.1104</v>
      </c>
      <c r="N9" s="60" t="s">
        <v>42</v>
      </c>
      <c r="O9" s="31" t="s">
        <v>15</v>
      </c>
      <c r="P9" s="33">
        <v>12.693199999999999</v>
      </c>
      <c r="Q9" s="33">
        <v>9.9975000000000005</v>
      </c>
      <c r="R9" s="33">
        <v>15.1104</v>
      </c>
    </row>
    <row r="10" spans="2:18" ht="15.5" x14ac:dyDescent="0.35">
      <c r="B10" s="12"/>
      <c r="C10" s="12" t="s">
        <v>23</v>
      </c>
      <c r="D10" s="2">
        <v>0.63600000000000001</v>
      </c>
      <c r="E10" s="2">
        <v>1.0669999999999999</v>
      </c>
      <c r="F10" s="2">
        <v>0.95</v>
      </c>
      <c r="H10" s="55"/>
      <c r="I10" s="12" t="s">
        <v>17</v>
      </c>
      <c r="J10" s="13">
        <v>23.4772</v>
      </c>
      <c r="K10" s="13">
        <v>6.3143099999999999</v>
      </c>
      <c r="L10" s="13">
        <v>11.108000000000001</v>
      </c>
      <c r="N10" s="61"/>
      <c r="O10" s="31" t="s">
        <v>40</v>
      </c>
      <c r="P10" s="33">
        <v>13.0128</v>
      </c>
      <c r="Q10" s="33">
        <v>10.5595</v>
      </c>
      <c r="R10" s="33">
        <v>15.745699999999999</v>
      </c>
    </row>
    <row r="11" spans="2:18" ht="15.5" x14ac:dyDescent="0.35">
      <c r="B11" s="2"/>
      <c r="C11" s="12" t="s">
        <v>24</v>
      </c>
      <c r="D11" s="2">
        <v>27.98</v>
      </c>
      <c r="E11" s="2">
        <v>23.88</v>
      </c>
      <c r="F11" s="2">
        <v>37.32</v>
      </c>
      <c r="H11" s="56"/>
      <c r="I11" s="12" t="s">
        <v>19</v>
      </c>
      <c r="J11" s="13">
        <f>J9+J10</f>
        <v>36.170400000000001</v>
      </c>
      <c r="K11" s="13">
        <f>K9+K10</f>
        <v>16.311810000000001</v>
      </c>
      <c r="L11" s="13">
        <f>L9+L10</f>
        <v>26.218400000000003</v>
      </c>
      <c r="N11" s="62"/>
      <c r="O11" s="31" t="s">
        <v>41</v>
      </c>
      <c r="P11" s="32">
        <f>ABS((P9-P10)/P9)</f>
        <v>2.5178835912142032E-2</v>
      </c>
      <c r="Q11" s="32">
        <f t="shared" ref="Q11:R11" si="2">ABS((Q9-Q10)/Q9)</f>
        <v>5.6214053513378277E-2</v>
      </c>
      <c r="R11" s="32">
        <f t="shared" si="2"/>
        <v>4.204389030071997E-2</v>
      </c>
    </row>
    <row r="12" spans="2:18" ht="15.5" x14ac:dyDescent="0.35">
      <c r="B12" s="2"/>
      <c r="C12" s="12" t="s">
        <v>25</v>
      </c>
      <c r="D12" s="2">
        <v>19.100000000000001</v>
      </c>
      <c r="E12" s="2">
        <v>17</v>
      </c>
      <c r="F12" s="2">
        <v>18</v>
      </c>
      <c r="H12" s="12"/>
      <c r="I12" s="12" t="s">
        <v>20</v>
      </c>
      <c r="J12" s="13">
        <f>J9/J11</f>
        <v>0.35092783049123039</v>
      </c>
      <c r="K12" s="13">
        <f>K9/K11</f>
        <v>0.61289948816225792</v>
      </c>
      <c r="L12" s="13">
        <f>L9/L11</f>
        <v>0.57632807493973692</v>
      </c>
      <c r="N12" s="60" t="s">
        <v>45</v>
      </c>
      <c r="O12" s="31" t="s">
        <v>15</v>
      </c>
      <c r="P12" s="33">
        <v>23.4772</v>
      </c>
      <c r="Q12" s="33">
        <v>6.3143099999999999</v>
      </c>
      <c r="R12" s="33">
        <v>11.108000000000001</v>
      </c>
    </row>
    <row r="13" spans="2:18" ht="15.5" x14ac:dyDescent="0.35">
      <c r="N13" s="61"/>
      <c r="O13" s="31" t="s">
        <v>40</v>
      </c>
      <c r="P13" s="33">
        <v>25.180199999999999</v>
      </c>
      <c r="Q13" s="33">
        <v>6.4039999999999999</v>
      </c>
      <c r="R13" s="33">
        <v>11.446</v>
      </c>
    </row>
    <row r="14" spans="2:18" ht="15.5" x14ac:dyDescent="0.35">
      <c r="H14" s="18"/>
      <c r="I14" s="45"/>
      <c r="J14" s="45"/>
      <c r="K14" s="45"/>
      <c r="L14" s="45"/>
      <c r="N14" s="62"/>
      <c r="O14" s="31" t="s">
        <v>41</v>
      </c>
      <c r="P14" s="32">
        <f>ABS((P12-P13)/P12)</f>
        <v>7.2538462849062041E-2</v>
      </c>
      <c r="Q14" s="32">
        <f t="shared" ref="Q14:R14" si="3">ABS((Q12-Q13)/Q12)</f>
        <v>1.4204244010826211E-2</v>
      </c>
      <c r="R14" s="32">
        <f t="shared" si="3"/>
        <v>3.0428519985595894E-2</v>
      </c>
    </row>
    <row r="15" spans="2:18" x14ac:dyDescent="0.35">
      <c r="H15" s="46"/>
      <c r="J15" s="14"/>
      <c r="K15" s="14"/>
      <c r="L15" s="14"/>
    </row>
    <row r="16" spans="2:18" x14ac:dyDescent="0.35">
      <c r="H16" s="46"/>
      <c r="J16" s="14"/>
      <c r="K16" s="14"/>
      <c r="L16" s="14"/>
    </row>
    <row r="17" spans="3:12" x14ac:dyDescent="0.35">
      <c r="C17" s="18"/>
      <c r="D17" s="14"/>
      <c r="E17" s="14"/>
      <c r="F17" s="14"/>
      <c r="H17" s="46"/>
      <c r="J17" s="14"/>
      <c r="K17" s="14"/>
      <c r="L17" s="14"/>
    </row>
    <row r="18" spans="3:12" x14ac:dyDescent="0.35">
      <c r="C18" s="18"/>
      <c r="D18" s="14"/>
      <c r="E18" s="14"/>
      <c r="F18" s="14"/>
      <c r="H18" s="18"/>
      <c r="J18" s="14"/>
      <c r="K18" s="14"/>
      <c r="L18" s="14"/>
    </row>
    <row r="19" spans="3:12" x14ac:dyDescent="0.35">
      <c r="C19" s="18"/>
      <c r="D19" s="14"/>
      <c r="E19" s="14"/>
      <c r="F19" s="14"/>
    </row>
    <row r="20" spans="3:12" x14ac:dyDescent="0.35">
      <c r="C20" s="18"/>
      <c r="D20" s="14"/>
      <c r="E20" s="14"/>
      <c r="F20" s="14"/>
      <c r="H20" s="40"/>
      <c r="I20" s="41"/>
      <c r="J20" s="41"/>
      <c r="K20" s="41"/>
      <c r="L20" s="41"/>
    </row>
    <row r="21" spans="3:12" x14ac:dyDescent="0.35">
      <c r="C21" s="18"/>
      <c r="H21" s="43"/>
      <c r="I21" s="40"/>
      <c r="J21" s="42"/>
      <c r="K21" s="42"/>
      <c r="L21" s="42"/>
    </row>
    <row r="22" spans="3:12" x14ac:dyDescent="0.35">
      <c r="C22" s="18"/>
      <c r="H22" s="43"/>
      <c r="I22" s="40"/>
      <c r="J22" s="42"/>
      <c r="K22" s="42"/>
      <c r="L22" s="42"/>
    </row>
    <row r="23" spans="3:12" x14ac:dyDescent="0.35">
      <c r="C23" s="18"/>
      <c r="H23" s="43"/>
      <c r="I23" s="40"/>
      <c r="J23" s="42"/>
      <c r="K23" s="42"/>
      <c r="L23" s="42"/>
    </row>
    <row r="24" spans="3:12" x14ac:dyDescent="0.35">
      <c r="C24" s="18"/>
      <c r="H24" s="40"/>
      <c r="I24" s="40"/>
      <c r="J24" s="42"/>
      <c r="K24" s="42"/>
      <c r="L24" s="42"/>
    </row>
  </sheetData>
  <mergeCells count="7">
    <mergeCell ref="N12:N14"/>
    <mergeCell ref="H3:H5"/>
    <mergeCell ref="H9:H11"/>
    <mergeCell ref="B5:B7"/>
    <mergeCell ref="N3:N5"/>
    <mergeCell ref="N6:N8"/>
    <mergeCell ref="N9:N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174C-0E06-4D3E-9971-977EF58E125D}">
  <dimension ref="B2:F24"/>
  <sheetViews>
    <sheetView workbookViewId="0">
      <selection activeCell="I18" sqref="I18"/>
    </sheetView>
  </sheetViews>
  <sheetFormatPr defaultRowHeight="14" x14ac:dyDescent="0.35"/>
  <cols>
    <col min="1" max="1" width="8.7265625" style="15"/>
    <col min="2" max="2" width="8.26953125" style="15" bestFit="1" customWidth="1"/>
    <col min="3" max="5" width="8.7265625" style="15"/>
    <col min="6" max="6" width="9.36328125" style="15" bestFit="1" customWidth="1"/>
    <col min="7" max="16384" width="8.7265625" style="15"/>
  </cols>
  <sheetData>
    <row r="2" spans="2:6" ht="14.5" customHeight="1" x14ac:dyDescent="0.35">
      <c r="B2" s="65" t="s">
        <v>29</v>
      </c>
      <c r="C2" s="63" t="s">
        <v>27</v>
      </c>
      <c r="D2" s="64"/>
      <c r="E2" s="65" t="s">
        <v>33</v>
      </c>
      <c r="F2" s="57" t="s">
        <v>20</v>
      </c>
    </row>
    <row r="3" spans="2:6" x14ac:dyDescent="0.35">
      <c r="B3" s="66"/>
      <c r="C3" s="16" t="s">
        <v>16</v>
      </c>
      <c r="D3" s="16" t="s">
        <v>17</v>
      </c>
      <c r="E3" s="59"/>
      <c r="F3" s="59"/>
    </row>
    <row r="4" spans="2:6" x14ac:dyDescent="0.35">
      <c r="B4" s="26">
        <f>B6*0.8</f>
        <v>0.76</v>
      </c>
      <c r="C4" s="26">
        <v>16.073899999999998</v>
      </c>
      <c r="D4" s="26">
        <v>14.0938</v>
      </c>
      <c r="E4" s="26">
        <f>C4+D4</f>
        <v>30.167699999999996</v>
      </c>
      <c r="F4" s="47">
        <f>C4/E4</f>
        <v>0.5328182128567972</v>
      </c>
    </row>
    <row r="5" spans="2:6" x14ac:dyDescent="0.35">
      <c r="B5" s="26">
        <f>B6*0.9</f>
        <v>0.85499999999999998</v>
      </c>
      <c r="C5" s="26">
        <v>15.920299999999999</v>
      </c>
      <c r="D5" s="26">
        <v>12.684200000000001</v>
      </c>
      <c r="E5" s="26">
        <f t="shared" ref="E5:E8" si="0">C5+D5</f>
        <v>28.604500000000002</v>
      </c>
      <c r="F5" s="47">
        <f t="shared" ref="F5:F8" si="1">C5/E5</f>
        <v>0.55656627453722307</v>
      </c>
    </row>
    <row r="6" spans="2:6" x14ac:dyDescent="0.35">
      <c r="B6" s="26">
        <v>0.95</v>
      </c>
      <c r="C6" s="26">
        <v>15.745699999999999</v>
      </c>
      <c r="D6" s="26">
        <v>11.446199999999999</v>
      </c>
      <c r="E6" s="26">
        <f t="shared" si="0"/>
        <v>27.191899999999997</v>
      </c>
      <c r="F6" s="47">
        <f t="shared" si="1"/>
        <v>0.57905846961779062</v>
      </c>
    </row>
    <row r="7" spans="2:6" x14ac:dyDescent="0.35">
      <c r="B7" s="26">
        <f>B6*1.1</f>
        <v>1.0449999999999999</v>
      </c>
      <c r="C7" s="26">
        <v>15.549200000000001</v>
      </c>
      <c r="D7" s="26">
        <v>10.3604</v>
      </c>
      <c r="E7" s="26">
        <f t="shared" si="0"/>
        <v>25.909600000000001</v>
      </c>
      <c r="F7" s="47">
        <f t="shared" si="1"/>
        <v>0.60013276932102388</v>
      </c>
    </row>
    <row r="8" spans="2:6" x14ac:dyDescent="0.35">
      <c r="B8" s="26">
        <f>B6*1.2</f>
        <v>1.1399999999999999</v>
      </c>
      <c r="C8" s="26">
        <v>15.3299</v>
      </c>
      <c r="D8" s="26">
        <v>9.4106000000000005</v>
      </c>
      <c r="E8" s="26">
        <f t="shared" si="0"/>
        <v>24.740500000000001</v>
      </c>
      <c r="F8" s="47">
        <f t="shared" si="1"/>
        <v>0.61962773589862774</v>
      </c>
    </row>
    <row r="10" spans="2:6" x14ac:dyDescent="0.35">
      <c r="B10" s="65" t="s">
        <v>28</v>
      </c>
      <c r="C10" s="63" t="s">
        <v>27</v>
      </c>
      <c r="D10" s="64"/>
      <c r="E10" s="65" t="s">
        <v>33</v>
      </c>
      <c r="F10" s="57" t="s">
        <v>20</v>
      </c>
    </row>
    <row r="11" spans="2:6" x14ac:dyDescent="0.35">
      <c r="B11" s="66"/>
      <c r="C11" s="16" t="s">
        <v>16</v>
      </c>
      <c r="D11" s="16" t="s">
        <v>17</v>
      </c>
      <c r="E11" s="59"/>
      <c r="F11" s="59"/>
    </row>
    <row r="12" spans="2:6" x14ac:dyDescent="0.35">
      <c r="B12" s="17">
        <v>2</v>
      </c>
      <c r="C12" s="26">
        <v>14.369899999999999</v>
      </c>
      <c r="D12" s="26">
        <v>12.7094</v>
      </c>
      <c r="E12" s="26">
        <f>C12+D12</f>
        <v>27.0793</v>
      </c>
      <c r="F12" s="47">
        <f>C12/E12</f>
        <v>0.53065995058956472</v>
      </c>
    </row>
    <row r="13" spans="2:6" x14ac:dyDescent="0.35">
      <c r="B13" s="17">
        <v>3</v>
      </c>
      <c r="C13" s="26">
        <v>15.402900000000001</v>
      </c>
      <c r="D13" s="26">
        <v>11.7509</v>
      </c>
      <c r="E13" s="26">
        <f t="shared" ref="E13:E16" si="2">C13+D13</f>
        <v>27.1538</v>
      </c>
      <c r="F13" s="47">
        <f t="shared" ref="F13:F16" si="3">C13/E13</f>
        <v>0.56724657322363725</v>
      </c>
    </row>
    <row r="14" spans="2:6" x14ac:dyDescent="0.35">
      <c r="B14" s="17">
        <v>4</v>
      </c>
      <c r="C14" s="26">
        <v>15.745699999999999</v>
      </c>
      <c r="D14" s="26">
        <v>11.446199999999999</v>
      </c>
      <c r="E14" s="26">
        <f t="shared" si="2"/>
        <v>27.191899999999997</v>
      </c>
      <c r="F14" s="47">
        <f t="shared" si="3"/>
        <v>0.57905846961779062</v>
      </c>
    </row>
    <row r="15" spans="2:6" x14ac:dyDescent="0.35">
      <c r="B15" s="17">
        <v>5</v>
      </c>
      <c r="C15" s="26">
        <v>15.894</v>
      </c>
      <c r="D15" s="26">
        <v>11.318199999999999</v>
      </c>
      <c r="E15" s="26">
        <f t="shared" si="2"/>
        <v>27.212199999999999</v>
      </c>
      <c r="F15" s="47">
        <f t="shared" si="3"/>
        <v>0.58407625991283318</v>
      </c>
    </row>
    <row r="16" spans="2:6" x14ac:dyDescent="0.35">
      <c r="B16" s="17">
        <v>6</v>
      </c>
      <c r="C16" s="26">
        <v>15.972099999999999</v>
      </c>
      <c r="D16" s="26">
        <v>11.2522</v>
      </c>
      <c r="E16" s="26">
        <f t="shared" si="2"/>
        <v>27.224299999999999</v>
      </c>
      <c r="F16" s="47">
        <f t="shared" si="3"/>
        <v>0.58668542441862603</v>
      </c>
    </row>
    <row r="18" spans="2:6" x14ac:dyDescent="0.35">
      <c r="B18" s="65" t="s">
        <v>30</v>
      </c>
      <c r="C18" s="63" t="s">
        <v>27</v>
      </c>
      <c r="D18" s="64"/>
      <c r="E18" s="65" t="s">
        <v>33</v>
      </c>
      <c r="F18" s="57" t="s">
        <v>20</v>
      </c>
    </row>
    <row r="19" spans="2:6" x14ac:dyDescent="0.35">
      <c r="B19" s="59"/>
      <c r="C19" s="16" t="s">
        <v>16</v>
      </c>
      <c r="D19" s="16" t="s">
        <v>17</v>
      </c>
      <c r="E19" s="59"/>
      <c r="F19" s="59"/>
    </row>
    <row r="20" spans="2:6" x14ac:dyDescent="0.35">
      <c r="B20" s="27">
        <f>0.8*B22</f>
        <v>820.27199999999993</v>
      </c>
      <c r="C20" s="26">
        <v>13.589499999999999</v>
      </c>
      <c r="D20" s="26">
        <v>8.0513999999999992</v>
      </c>
      <c r="E20" s="26">
        <f>C20+D20</f>
        <v>21.640899999999998</v>
      </c>
      <c r="F20" s="47">
        <f>C20/E20</f>
        <v>0.62795447509114688</v>
      </c>
    </row>
    <row r="21" spans="2:6" x14ac:dyDescent="0.35">
      <c r="B21" s="27">
        <f>B22*0.9</f>
        <v>922.80599999999993</v>
      </c>
      <c r="C21" s="26">
        <v>14.775700000000001</v>
      </c>
      <c r="D21" s="26">
        <v>9.6303999999999998</v>
      </c>
      <c r="E21" s="26">
        <f t="shared" ref="E21:E24" si="4">C21+D21</f>
        <v>24.406100000000002</v>
      </c>
      <c r="F21" s="47">
        <f t="shared" ref="F21:F24" si="5">C21/E21</f>
        <v>0.60541012287911622</v>
      </c>
    </row>
    <row r="22" spans="2:6" x14ac:dyDescent="0.35">
      <c r="B22" s="27">
        <v>1025.3399999999999</v>
      </c>
      <c r="C22" s="26">
        <v>15.745699999999999</v>
      </c>
      <c r="D22" s="26">
        <v>11.446199999999999</v>
      </c>
      <c r="E22" s="26">
        <f t="shared" si="4"/>
        <v>27.191899999999997</v>
      </c>
      <c r="F22" s="47">
        <f t="shared" si="5"/>
        <v>0.57905846961779062</v>
      </c>
    </row>
    <row r="23" spans="2:6" x14ac:dyDescent="0.35">
      <c r="B23" s="27">
        <f>1.1*B22</f>
        <v>1127.874</v>
      </c>
      <c r="C23" s="26">
        <v>16.497599999999998</v>
      </c>
      <c r="D23" s="26">
        <v>13.5014</v>
      </c>
      <c r="E23" s="26">
        <f t="shared" si="4"/>
        <v>29.998999999999999</v>
      </c>
      <c r="F23" s="47">
        <f t="shared" si="5"/>
        <v>0.54993833127770919</v>
      </c>
    </row>
    <row r="24" spans="2:6" x14ac:dyDescent="0.35">
      <c r="B24" s="27">
        <f>1.2*B22</f>
        <v>1230.4079999999999</v>
      </c>
      <c r="C24" s="26">
        <v>17.0474</v>
      </c>
      <c r="D24" s="26">
        <v>15.778600000000001</v>
      </c>
      <c r="E24" s="26">
        <f t="shared" si="4"/>
        <v>32.826000000000001</v>
      </c>
      <c r="F24" s="47">
        <f t="shared" si="5"/>
        <v>0.51932614391031495</v>
      </c>
    </row>
  </sheetData>
  <mergeCells count="12">
    <mergeCell ref="C18:D18"/>
    <mergeCell ref="E18:E19"/>
    <mergeCell ref="F18:F19"/>
    <mergeCell ref="B2:B3"/>
    <mergeCell ref="B10:B11"/>
    <mergeCell ref="B18:B19"/>
    <mergeCell ref="C2:D2"/>
    <mergeCell ref="E2:E3"/>
    <mergeCell ref="F2:F3"/>
    <mergeCell ref="C10:D10"/>
    <mergeCell ref="E10:E11"/>
    <mergeCell ref="F10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F7F7-A649-4916-898F-021A9AF6750F}">
  <dimension ref="A2:I12"/>
  <sheetViews>
    <sheetView tabSelected="1" workbookViewId="0">
      <selection activeCell="G14" sqref="G14"/>
    </sheetView>
  </sheetViews>
  <sheetFormatPr defaultRowHeight="14.5" x14ac:dyDescent="0.35"/>
  <cols>
    <col min="2" max="2" width="13.08984375" bestFit="1" customWidth="1"/>
    <col min="3" max="3" width="9.81640625" bestFit="1" customWidth="1"/>
    <col min="4" max="6" width="7.36328125" bestFit="1" customWidth="1"/>
  </cols>
  <sheetData>
    <row r="2" spans="1:9" ht="28" x14ac:dyDescent="0.35">
      <c r="B2" s="12" t="s">
        <v>49</v>
      </c>
      <c r="C2" s="8" t="s">
        <v>63</v>
      </c>
      <c r="D2" s="8" t="s">
        <v>1</v>
      </c>
      <c r="E2" s="8" t="s">
        <v>2</v>
      </c>
      <c r="F2" s="8" t="s">
        <v>3</v>
      </c>
    </row>
    <row r="3" spans="1:9" x14ac:dyDescent="0.35">
      <c r="B3" s="52" t="s">
        <v>31</v>
      </c>
      <c r="C3" s="22" t="s">
        <v>8</v>
      </c>
      <c r="D3" s="22">
        <v>0.3397</v>
      </c>
      <c r="E3" s="22">
        <v>0.62150000000000005</v>
      </c>
      <c r="F3" s="22">
        <v>0.57789999999999997</v>
      </c>
    </row>
    <row r="4" spans="1:9" x14ac:dyDescent="0.35">
      <c r="A4" s="19"/>
      <c r="B4" s="52"/>
      <c r="C4" s="22" t="s">
        <v>9</v>
      </c>
      <c r="D4" s="23">
        <v>0.3407</v>
      </c>
      <c r="E4" s="23">
        <v>0.62250000000000005</v>
      </c>
      <c r="F4" s="23">
        <v>0.57909999999999995</v>
      </c>
    </row>
    <row r="5" spans="1:9" x14ac:dyDescent="0.35">
      <c r="A5" s="20"/>
      <c r="B5" s="52"/>
      <c r="C5" s="22" t="s">
        <v>6</v>
      </c>
      <c r="D5" s="24">
        <f>ABS((D3-D4)/D3)</f>
        <v>2.9437739181630879E-3</v>
      </c>
      <c r="E5" s="24">
        <f t="shared" ref="E5:F5" si="0">ABS((E3-E4)/E3)</f>
        <v>1.6090104585679819E-3</v>
      </c>
      <c r="F5" s="24">
        <f t="shared" si="0"/>
        <v>2.0764838207301935E-3</v>
      </c>
    </row>
    <row r="6" spans="1:9" x14ac:dyDescent="0.35">
      <c r="A6" s="21"/>
      <c r="B6" s="52" t="s">
        <v>32</v>
      </c>
      <c r="C6" s="22" t="s">
        <v>8</v>
      </c>
      <c r="D6" s="23">
        <v>38.3508</v>
      </c>
      <c r="E6" s="23">
        <v>17.015000000000001</v>
      </c>
      <c r="F6" s="23">
        <v>27.282</v>
      </c>
    </row>
    <row r="7" spans="1:9" x14ac:dyDescent="0.35">
      <c r="B7" s="52"/>
      <c r="C7" s="22" t="s">
        <v>9</v>
      </c>
      <c r="D7" s="23">
        <v>38.192999999999998</v>
      </c>
      <c r="E7" s="23">
        <v>16.9635</v>
      </c>
      <c r="F7" s="23">
        <v>27.191700000000001</v>
      </c>
    </row>
    <row r="8" spans="1:9" x14ac:dyDescent="0.35">
      <c r="A8" s="20"/>
      <c r="B8" s="52"/>
      <c r="C8" s="22" t="s">
        <v>6</v>
      </c>
      <c r="D8" s="24">
        <f>ABS((D6-D7)/D6)</f>
        <v>4.114646891329561E-3</v>
      </c>
      <c r="E8" s="24">
        <f t="shared" ref="E8:F8" si="1">ABS((E6-E7)/E6)</f>
        <v>3.026741110784647E-3</v>
      </c>
      <c r="F8" s="24">
        <f t="shared" si="1"/>
        <v>3.3098746426214777E-3</v>
      </c>
    </row>
    <row r="9" spans="1:9" x14ac:dyDescent="0.35">
      <c r="A9" s="20"/>
    </row>
    <row r="10" spans="1:9" ht="14.5" customHeight="1" x14ac:dyDescent="0.35">
      <c r="A10" s="21"/>
      <c r="B10" s="67" t="s">
        <v>48</v>
      </c>
      <c r="C10" s="67"/>
      <c r="D10" s="67"/>
      <c r="E10" s="67"/>
      <c r="F10" s="67"/>
      <c r="G10" s="67"/>
      <c r="H10" s="68"/>
      <c r="I10" s="68"/>
    </row>
    <row r="12" spans="1:9" ht="14.5" customHeight="1" x14ac:dyDescent="0.35">
      <c r="A12" s="35"/>
      <c r="B12" s="35"/>
      <c r="C12" s="35"/>
    </row>
  </sheetData>
  <mergeCells count="3">
    <mergeCell ref="B3:B5"/>
    <mergeCell ref="B6:B8"/>
    <mergeCell ref="B10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</vt:lpstr>
      <vt:lpstr>Pressure &amp; bpt</vt:lpstr>
      <vt:lpstr>Volume &amp; Percent</vt:lpstr>
      <vt:lpstr>Moles</vt:lpstr>
      <vt:lpstr>Sensitivity</vt:lpstr>
      <vt:lpstr>Altitude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 BASNET</dc:creator>
  <cp:lastModifiedBy>SAROJ BASNET</cp:lastModifiedBy>
  <dcterms:created xsi:type="dcterms:W3CDTF">2026-01-15T06:11:49Z</dcterms:created>
  <dcterms:modified xsi:type="dcterms:W3CDTF">2026-08-13T17:21:15Z</dcterms:modified>
</cp:coreProperties>
</file>